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USE\Desktop\recuiva\"/>
    </mc:Choice>
  </mc:AlternateContent>
  <xr:revisionPtr revIDLastSave="0" documentId="13_ncr:1_{CFE6F075-6852-4F20-A8E7-505D03DDD6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O-003 Collar Reina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5" i="2" l="1"/>
  <c r="G24" i="2"/>
  <c r="B25" i="1"/>
  <c r="B24" i="1"/>
</calcChain>
</file>

<file path=xl/sharedStrings.xml><?xml version="1.0" encoding="utf-8"?>
<sst xmlns="http://schemas.openxmlformats.org/spreadsheetml/2006/main" count="187" uniqueCount="67">
  <si>
    <t>ID</t>
  </si>
  <si>
    <t>Pregunta</t>
  </si>
  <si>
    <t>Respuesta del usuario</t>
  </si>
  <si>
    <t>Score %</t>
  </si>
  <si>
    <t>Clasificación Auto</t>
  </si>
  <si>
    <t>Clasificación Manual</t>
  </si>
  <si>
    <t>¿Coincide?</t>
  </si>
  <si>
    <t>¿Qué era el famoso collar de la reina en la historia?</t>
  </si>
  <si>
    <t>Era un collar de diamantes muy costoso encargado originalmente para María Antonieta.</t>
  </si>
  <si>
    <t>¿Qué papel tuvo el cardenal de Rohan en la estafa?</t>
  </si>
  <si>
    <t>Era un cardenal manipulado para creer que la reina quería que él comprara el collar.</t>
  </si>
  <si>
    <t>¿Por qué la reputación de María Antonieta ya estaba dañada antes del escándalo del collar?</t>
  </si>
  <si>
    <t>¿Quién era Jeanne de Valois-Saint-Rémy y cómo participó en el engaño?</t>
  </si>
  <si>
    <t>Era una falsa condesa que planeó la estafa y fingió ser cercana a la reina.</t>
  </si>
  <si>
    <t>¿Qué engaño se realizó en los jardines de Versalles durante la noche?</t>
  </si>
  <si>
    <t>Hicieron que el cardenal creyera reunirse con una mujer disfrazada de María Antonieta.</t>
  </si>
  <si>
    <t>¿Por qué los joyeros confiaron en que recibirían el pago del collar?</t>
  </si>
  <si>
    <t>¿Cómo se enteró finalmente María Antonieta de lo que estaba ocurriendo?</t>
  </si>
  <si>
    <t>Los joyeros acudieron a reclamar el pago y estalló el escándalo.</t>
  </si>
  <si>
    <t>¿Qué consecuencias políticas tuvo el caso del collar?</t>
  </si>
  <si>
    <t>Aumentó el odio hacia la monarquía y debilitó la imagen pública de la reina.</t>
  </si>
  <si>
    <t>¿Por qué se considera que el caso del collar influyó en la Revolución Francesa?</t>
  </si>
  <si>
    <t>Reforzó la idea de que la corte era corrupta y ajena al pueblo.</t>
  </si>
  <si>
    <t>¿Qué buscaba el cardenal de Rohan al participar en el escándalo del collar?</t>
  </si>
  <si>
    <t>¿Cómo se usaron las cartas falsas en el plan?</t>
  </si>
  <si>
    <t>Eran cartas falsificadas para que el cardenal creyera que hablaba con la reina.</t>
  </si>
  <si>
    <t>¿Qué papel tuvo la mujer que se hizo pasar por la reina en el jardín?</t>
  </si>
  <si>
    <t>¿Por qué los joyeros aceptaron rebajar el precio del collar?</t>
  </si>
  <si>
    <t>Jeanne los convenció de que sería más fácil que la reina pagara luego.</t>
  </si>
  <si>
    <t>¿Qué pasó con Jeanne después de que estalló el escándalo?</t>
  </si>
  <si>
    <t>¿Qué representaba el collar para la sociedad francesa?</t>
  </si>
  <si>
    <t>¿Qué oportunidad aprovechó la prensa para criticar a la reina?</t>
  </si>
  <si>
    <t>¿Qué ocurrió al final con el collar cuando la reina quiso quemarlo?</t>
  </si>
  <si>
    <t>La reina mandó destruirlo para demostrar inocencia.</t>
  </si>
  <si>
    <t>MÉTRICAS DE VALIDACIÓN</t>
  </si>
  <si>
    <t>Total Coincidencias:</t>
  </si>
  <si>
    <t>/ 20</t>
  </si>
  <si>
    <t>Precisión General:</t>
  </si>
  <si>
    <t>(Meta: ≥75%)</t>
  </si>
  <si>
    <t>Correctas/Parciales correctas:</t>
  </si>
  <si>
    <t>(Meta: ≥70%)</t>
  </si>
  <si>
    <t>Excelente</t>
  </si>
  <si>
    <t>Regular</t>
  </si>
  <si>
    <t>Mala</t>
  </si>
  <si>
    <t>BUENO</t>
  </si>
  <si>
    <t xml:space="preserve">EXCELENTE </t>
  </si>
  <si>
    <t>REGULAR</t>
  </si>
  <si>
    <t>EXCELENTE</t>
  </si>
  <si>
    <t xml:space="preserve">BUENO </t>
  </si>
  <si>
    <t>MALO</t>
  </si>
  <si>
    <t>Si</t>
  </si>
  <si>
    <t>No</t>
  </si>
  <si>
    <t>“La reina ya tenía una imagen negativa porque se le acusaba de gastar en exceso y vivir alejada de las preocupaciones del pueblo.”</t>
  </si>
  <si>
    <t>La reina ya tenía una imagen negativa porque se le acusaba de gastar en exceso y vivir alejada de las preocupaciones del pueblo.</t>
  </si>
  <si>
    <t>Apareció brevemente para engañar al cardenal y hacerle creer que hablaba con la reina.</t>
  </si>
  <si>
    <t>¿Qué mostraba el caso del collar sobre la relación entre la corte y el pueblo?</t>
  </si>
  <si>
    <t>Mostraba que existía una profunda desconfianza y distancia entre la población y la corte.</t>
  </si>
  <si>
    <t>La prensa utilizó el escándalo del collar para atacarla y reforzar la idea de que era derrochadora y corrupta.</t>
  </si>
  <si>
    <t>¿Cómo engañó Jeanne al cardenal para que creyera que la reina quería el collar?</t>
  </si>
  <si>
    <t>Le mostró cartas falsas y organizó encuentros para convencerlo de que la reina estaba interesada en recuperar su favor.</t>
  </si>
  <si>
    <t>Porque Jeanne les mostró documentos falsificados y les aseguró que la reina había aprobado la compra, dando la apariencia de que todo estaba respaldado por la corona.</t>
  </si>
  <si>
    <t>Buscaba recuperar el favor y la confianza de la reina, ya que llevaba años sin su aprobación, y el collar parecía una oportunidad para demostrar lealtad.</t>
  </si>
  <si>
    <t>Fue detenida, llevada a juicio públicamente y terminó perdiendo credibilidad ante toda la corte cuando se descubrió su participación en el engaño.</t>
  </si>
  <si>
    <t>Representaba el exceso y el lujo de la nobleza, y se convirtió en un símbolo del distanciamiento entre la corte y el pueblo en los años previos a la revolución.</t>
  </si>
  <si>
    <t>Bueno</t>
  </si>
  <si>
    <t xml:space="preserve"> Bueno</t>
  </si>
  <si>
    <t>11 / 15 = 73.33% (Meta: ≥ 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</si>
</sst>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top"/>
    </xf>
    <xf numFmtId="10" fontId="0" fillId="0" borderId="0" xfId="0" applyNumberFormat="1"/>
    <xf numFmtId="0" fontId="2" fillId="4" borderId="0" xfId="0" applyFont="1" applyFill="1" applyAlignment="1">
      <alignment horizontal="center" vertical="center"/>
    </xf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59" zoomScaleNormal="70" workbookViewId="0">
      <selection activeCell="A23" sqref="A23:C26"/>
    </sheetView>
  </sheetViews>
  <sheetFormatPr baseColWidth="10" defaultColWidth="9.140625" defaultRowHeight="15" x14ac:dyDescent="0.25"/>
  <cols>
    <col min="1" max="1" width="31.42578125" customWidth="1"/>
    <col min="2" max="2" width="88.85546875" customWidth="1"/>
    <col min="3" max="3" width="84.140625" customWidth="1"/>
    <col min="4" max="4" width="12.28515625" customWidth="1"/>
    <col min="5" max="5" width="19.140625" customWidth="1"/>
    <col min="6" max="6" width="14" customWidth="1"/>
    <col min="7" max="7" width="1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8</v>
      </c>
      <c r="D2" s="9">
        <v>0.69</v>
      </c>
      <c r="E2" s="4" t="s">
        <v>44</v>
      </c>
      <c r="F2" s="8" t="s">
        <v>64</v>
      </c>
      <c r="G2" s="4" t="s">
        <v>50</v>
      </c>
    </row>
    <row r="3" spans="1:7" x14ac:dyDescent="0.25">
      <c r="A3" s="2">
        <v>2</v>
      </c>
      <c r="B3" s="3" t="s">
        <v>9</v>
      </c>
      <c r="C3" s="3" t="s">
        <v>10</v>
      </c>
      <c r="D3" s="9">
        <v>0.94</v>
      </c>
      <c r="E3" s="4" t="s">
        <v>45</v>
      </c>
      <c r="F3" s="8" t="s">
        <v>41</v>
      </c>
      <c r="G3" s="4" t="s">
        <v>50</v>
      </c>
    </row>
    <row r="4" spans="1:7" ht="30" x14ac:dyDescent="0.25">
      <c r="A4" s="10">
        <v>3</v>
      </c>
      <c r="B4" s="3" t="s">
        <v>11</v>
      </c>
      <c r="C4" s="3" t="s">
        <v>53</v>
      </c>
      <c r="D4" s="9">
        <v>0.91</v>
      </c>
      <c r="E4" s="4" t="s">
        <v>47</v>
      </c>
      <c r="F4" s="8" t="s">
        <v>64</v>
      </c>
      <c r="G4" s="4" t="s">
        <v>51</v>
      </c>
    </row>
    <row r="5" spans="1:7" x14ac:dyDescent="0.25">
      <c r="A5" s="10">
        <v>4</v>
      </c>
      <c r="B5" s="3" t="s">
        <v>12</v>
      </c>
      <c r="C5" s="3" t="s">
        <v>13</v>
      </c>
      <c r="D5" s="9">
        <v>0.64</v>
      </c>
      <c r="E5" s="4" t="s">
        <v>48</v>
      </c>
      <c r="F5" s="8" t="s">
        <v>64</v>
      </c>
      <c r="G5" s="4" t="s">
        <v>50</v>
      </c>
    </row>
    <row r="6" spans="1:7" x14ac:dyDescent="0.25">
      <c r="A6" s="10">
        <v>5</v>
      </c>
      <c r="B6" s="3" t="s">
        <v>14</v>
      </c>
      <c r="C6" s="3" t="s">
        <v>15</v>
      </c>
      <c r="D6" s="9">
        <v>0.7</v>
      </c>
      <c r="E6" s="4" t="s">
        <v>44</v>
      </c>
      <c r="F6" s="8" t="s">
        <v>64</v>
      </c>
      <c r="G6" s="4" t="s">
        <v>50</v>
      </c>
    </row>
    <row r="7" spans="1:7" ht="30" x14ac:dyDescent="0.25">
      <c r="A7" s="10">
        <v>6</v>
      </c>
      <c r="B7" s="3" t="s">
        <v>16</v>
      </c>
      <c r="C7" s="3" t="s">
        <v>60</v>
      </c>
      <c r="D7" s="9">
        <v>0.95</v>
      </c>
      <c r="E7" s="4" t="s">
        <v>47</v>
      </c>
      <c r="F7" s="8" t="s">
        <v>64</v>
      </c>
      <c r="G7" s="4" t="s">
        <v>51</v>
      </c>
    </row>
    <row r="8" spans="1:7" ht="30" x14ac:dyDescent="0.25">
      <c r="A8" s="10">
        <v>7</v>
      </c>
      <c r="B8" s="3" t="s">
        <v>52</v>
      </c>
      <c r="C8" s="3" t="s">
        <v>53</v>
      </c>
      <c r="D8" s="9">
        <v>0.81</v>
      </c>
      <c r="E8" s="9" t="s">
        <v>47</v>
      </c>
      <c r="F8" s="8" t="s">
        <v>41</v>
      </c>
      <c r="G8" s="4" t="s">
        <v>50</v>
      </c>
    </row>
    <row r="9" spans="1:7" x14ac:dyDescent="0.25">
      <c r="A9" s="10">
        <v>8</v>
      </c>
      <c r="B9" s="3" t="s">
        <v>17</v>
      </c>
      <c r="C9" s="3" t="s">
        <v>18</v>
      </c>
      <c r="D9" s="9">
        <v>0.83</v>
      </c>
      <c r="E9" s="4" t="s">
        <v>45</v>
      </c>
      <c r="F9" s="8" t="s">
        <v>64</v>
      </c>
      <c r="G9" s="4" t="s">
        <v>51</v>
      </c>
    </row>
    <row r="10" spans="1:7" x14ac:dyDescent="0.25">
      <c r="A10" s="10">
        <v>9</v>
      </c>
      <c r="B10" s="3" t="s">
        <v>19</v>
      </c>
      <c r="C10" s="3" t="s">
        <v>20</v>
      </c>
      <c r="D10" s="9">
        <v>0.21</v>
      </c>
      <c r="E10" s="4" t="s">
        <v>49</v>
      </c>
      <c r="F10" s="8" t="s">
        <v>64</v>
      </c>
      <c r="G10" s="4" t="s">
        <v>51</v>
      </c>
    </row>
    <row r="11" spans="1:7" x14ac:dyDescent="0.25">
      <c r="A11" s="10">
        <v>10</v>
      </c>
      <c r="B11" s="3" t="s">
        <v>21</v>
      </c>
      <c r="C11" s="3" t="s">
        <v>22</v>
      </c>
      <c r="D11" s="9">
        <v>0.73</v>
      </c>
      <c r="E11" s="4" t="s">
        <v>44</v>
      </c>
      <c r="F11" s="8" t="s">
        <v>41</v>
      </c>
      <c r="G11" s="4" t="s">
        <v>51</v>
      </c>
    </row>
    <row r="12" spans="1:7" ht="30" x14ac:dyDescent="0.25">
      <c r="A12" s="10">
        <v>11</v>
      </c>
      <c r="B12" s="3" t="s">
        <v>23</v>
      </c>
      <c r="C12" s="3" t="s">
        <v>61</v>
      </c>
      <c r="D12" s="9">
        <v>0.77</v>
      </c>
      <c r="E12" s="4" t="s">
        <v>44</v>
      </c>
      <c r="F12" s="8" t="s">
        <v>64</v>
      </c>
      <c r="G12" s="4" t="s">
        <v>50</v>
      </c>
    </row>
    <row r="13" spans="1:7" x14ac:dyDescent="0.25">
      <c r="A13" s="10">
        <v>12</v>
      </c>
      <c r="B13" s="3" t="s">
        <v>24</v>
      </c>
      <c r="C13" s="3" t="s">
        <v>25</v>
      </c>
      <c r="D13" s="9">
        <v>0.62</v>
      </c>
      <c r="E13" s="4" t="s">
        <v>44</v>
      </c>
      <c r="F13" s="8" t="s">
        <v>64</v>
      </c>
      <c r="G13" s="4" t="s">
        <v>50</v>
      </c>
    </row>
    <row r="14" spans="1:7" x14ac:dyDescent="0.25">
      <c r="A14" s="10">
        <v>13</v>
      </c>
      <c r="B14" s="3" t="s">
        <v>26</v>
      </c>
      <c r="C14" s="3" t="s">
        <v>54</v>
      </c>
      <c r="D14" s="9">
        <v>0.53</v>
      </c>
      <c r="E14" s="4" t="s">
        <v>46</v>
      </c>
      <c r="F14" s="8" t="s">
        <v>42</v>
      </c>
      <c r="G14" s="4" t="s">
        <v>50</v>
      </c>
    </row>
    <row r="15" spans="1:7" x14ac:dyDescent="0.25">
      <c r="A15" s="10">
        <v>14</v>
      </c>
      <c r="B15" s="3" t="s">
        <v>27</v>
      </c>
      <c r="C15" s="3" t="s">
        <v>28</v>
      </c>
      <c r="D15" s="9">
        <v>0.76</v>
      </c>
      <c r="E15" s="4" t="s">
        <v>48</v>
      </c>
      <c r="F15" s="8" t="s">
        <v>42</v>
      </c>
      <c r="G15" s="4" t="s">
        <v>51</v>
      </c>
    </row>
    <row r="16" spans="1:7" ht="30" x14ac:dyDescent="0.25">
      <c r="A16" s="10">
        <v>15</v>
      </c>
      <c r="B16" s="3" t="s">
        <v>29</v>
      </c>
      <c r="C16" s="3" t="s">
        <v>62</v>
      </c>
      <c r="D16" s="9">
        <v>0.89</v>
      </c>
      <c r="E16" s="4" t="s">
        <v>47</v>
      </c>
      <c r="F16" s="8" t="s">
        <v>64</v>
      </c>
      <c r="G16" s="4" t="s">
        <v>51</v>
      </c>
    </row>
    <row r="17" spans="1:7" ht="30" x14ac:dyDescent="0.25">
      <c r="A17" s="10">
        <v>16</v>
      </c>
      <c r="B17" s="3" t="s">
        <v>30</v>
      </c>
      <c r="C17" s="3" t="s">
        <v>63</v>
      </c>
      <c r="D17" s="9">
        <v>0.79</v>
      </c>
      <c r="E17" s="4" t="s">
        <v>44</v>
      </c>
      <c r="F17" s="8" t="s">
        <v>64</v>
      </c>
      <c r="G17" s="4" t="s">
        <v>50</v>
      </c>
    </row>
    <row r="18" spans="1:7" x14ac:dyDescent="0.25">
      <c r="A18" s="10">
        <v>17</v>
      </c>
      <c r="B18" s="3" t="s">
        <v>55</v>
      </c>
      <c r="C18" s="3" t="s">
        <v>56</v>
      </c>
      <c r="D18" s="9">
        <v>0.67</v>
      </c>
      <c r="E18" s="4" t="s">
        <v>48</v>
      </c>
      <c r="F18" s="8" t="s">
        <v>64</v>
      </c>
      <c r="G18" s="4" t="s">
        <v>50</v>
      </c>
    </row>
    <row r="19" spans="1:7" ht="30" x14ac:dyDescent="0.25">
      <c r="A19" s="10">
        <v>18</v>
      </c>
      <c r="B19" s="3" t="s">
        <v>31</v>
      </c>
      <c r="C19" s="3" t="s">
        <v>57</v>
      </c>
      <c r="D19" s="9">
        <v>0.86</v>
      </c>
      <c r="E19" s="4" t="s">
        <v>47</v>
      </c>
      <c r="F19" s="8" t="s">
        <v>65</v>
      </c>
      <c r="G19" s="4" t="s">
        <v>50</v>
      </c>
    </row>
    <row r="20" spans="1:7" ht="30" x14ac:dyDescent="0.25">
      <c r="A20" s="10">
        <v>19</v>
      </c>
      <c r="B20" s="3" t="s">
        <v>58</v>
      </c>
      <c r="C20" s="3" t="s">
        <v>59</v>
      </c>
      <c r="D20" s="9">
        <v>0.64</v>
      </c>
      <c r="E20" s="4" t="s">
        <v>44</v>
      </c>
      <c r="F20" s="8" t="s">
        <v>64</v>
      </c>
      <c r="G20" s="4" t="s">
        <v>50</v>
      </c>
    </row>
    <row r="21" spans="1:7" x14ac:dyDescent="0.25">
      <c r="A21" s="2">
        <v>20</v>
      </c>
      <c r="B21" s="3" t="s">
        <v>32</v>
      </c>
      <c r="C21" s="3" t="s">
        <v>33</v>
      </c>
      <c r="D21" s="9">
        <v>0.54</v>
      </c>
      <c r="E21" s="4" t="s">
        <v>46</v>
      </c>
      <c r="F21" s="8" t="s">
        <v>43</v>
      </c>
      <c r="G21" s="4" t="s">
        <v>51</v>
      </c>
    </row>
    <row r="23" spans="1:7" ht="15.75" x14ac:dyDescent="0.25">
      <c r="A23" s="6" t="s">
        <v>34</v>
      </c>
      <c r="B23" s="7"/>
      <c r="C23" s="7"/>
    </row>
    <row r="24" spans="1:7" x14ac:dyDescent="0.25">
      <c r="A24" t="s">
        <v>35</v>
      </c>
      <c r="B24">
        <f>COUNTIF(G2:G21,"Si")</f>
        <v>12</v>
      </c>
      <c r="C24" t="s">
        <v>36</v>
      </c>
    </row>
    <row r="25" spans="1:7" x14ac:dyDescent="0.25">
      <c r="A25" t="s">
        <v>37</v>
      </c>
      <c r="B25" s="5">
        <f>COUNTIF(G2:G21,"Si")/20</f>
        <v>0.6</v>
      </c>
      <c r="C25" t="s">
        <v>38</v>
      </c>
    </row>
    <row r="26" spans="1:7" x14ac:dyDescent="0.25">
      <c r="A26" t="s">
        <v>39</v>
      </c>
      <c r="B26" s="11" t="s">
        <v>66</v>
      </c>
      <c r="C26" t="s">
        <v>40</v>
      </c>
    </row>
  </sheetData>
  <mergeCells count="1">
    <mergeCell ref="A23:C23"/>
  </mergeCells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44168-F4C3-46D2-BA09-8F7820B55C4F}">
  <dimension ref="A1:H26"/>
  <sheetViews>
    <sheetView zoomScale="72" workbookViewId="0">
      <selection activeCell="I30" sqref="I30"/>
    </sheetView>
  </sheetViews>
  <sheetFormatPr baseColWidth="10" defaultRowHeight="15" x14ac:dyDescent="0.25"/>
  <cols>
    <col min="2" max="2" width="24.28515625" customWidth="1"/>
    <col min="3" max="3" width="21.5703125" customWidth="1"/>
    <col min="4" max="4" width="18.5703125" customWidth="1"/>
    <col min="6" max="6" width="40.42578125" customWidth="1"/>
    <col min="7" max="7" width="49.28515625" customWidth="1"/>
    <col min="8" max="8" width="30.42578125" customWidth="1"/>
  </cols>
  <sheetData>
    <row r="1" spans="1:4" ht="77.25" customHeight="1" x14ac:dyDescent="0.2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5">
      <c r="A2" s="9">
        <v>0.69</v>
      </c>
      <c r="B2" s="4" t="s">
        <v>44</v>
      </c>
      <c r="C2" s="8" t="s">
        <v>64</v>
      </c>
      <c r="D2" s="4" t="s">
        <v>50</v>
      </c>
    </row>
    <row r="3" spans="1:4" x14ac:dyDescent="0.25">
      <c r="A3" s="9">
        <v>0.94</v>
      </c>
      <c r="B3" s="4" t="s">
        <v>45</v>
      </c>
      <c r="C3" s="8" t="s">
        <v>41</v>
      </c>
      <c r="D3" s="4" t="s">
        <v>50</v>
      </c>
    </row>
    <row r="4" spans="1:4" x14ac:dyDescent="0.25">
      <c r="A4" s="9">
        <v>0.91</v>
      </c>
      <c r="B4" s="4" t="s">
        <v>47</v>
      </c>
      <c r="C4" s="8" t="s">
        <v>64</v>
      </c>
      <c r="D4" s="4" t="s">
        <v>51</v>
      </c>
    </row>
    <row r="5" spans="1:4" x14ac:dyDescent="0.25">
      <c r="A5" s="9">
        <v>0.64</v>
      </c>
      <c r="B5" s="4" t="s">
        <v>48</v>
      </c>
      <c r="C5" s="8" t="s">
        <v>64</v>
      </c>
      <c r="D5" s="4" t="s">
        <v>50</v>
      </c>
    </row>
    <row r="6" spans="1:4" x14ac:dyDescent="0.25">
      <c r="A6" s="9">
        <v>0.7</v>
      </c>
      <c r="B6" s="4" t="s">
        <v>44</v>
      </c>
      <c r="C6" s="8" t="s">
        <v>64</v>
      </c>
      <c r="D6" s="4" t="s">
        <v>50</v>
      </c>
    </row>
    <row r="7" spans="1:4" x14ac:dyDescent="0.25">
      <c r="A7" s="9">
        <v>0.95</v>
      </c>
      <c r="B7" s="4" t="s">
        <v>47</v>
      </c>
      <c r="C7" s="8" t="s">
        <v>64</v>
      </c>
      <c r="D7" s="4" t="s">
        <v>51</v>
      </c>
    </row>
    <row r="8" spans="1:4" x14ac:dyDescent="0.25">
      <c r="A8" s="9">
        <v>0.81</v>
      </c>
      <c r="B8" s="9" t="s">
        <v>47</v>
      </c>
      <c r="C8" s="8" t="s">
        <v>41</v>
      </c>
      <c r="D8" s="4" t="s">
        <v>50</v>
      </c>
    </row>
    <row r="9" spans="1:4" x14ac:dyDescent="0.25">
      <c r="A9" s="9">
        <v>0.83</v>
      </c>
      <c r="B9" s="4" t="s">
        <v>45</v>
      </c>
      <c r="C9" s="8" t="s">
        <v>64</v>
      </c>
      <c r="D9" s="4" t="s">
        <v>51</v>
      </c>
    </row>
    <row r="10" spans="1:4" x14ac:dyDescent="0.25">
      <c r="A10" s="9">
        <v>0.21</v>
      </c>
      <c r="B10" s="4" t="s">
        <v>49</v>
      </c>
      <c r="C10" s="8" t="s">
        <v>64</v>
      </c>
      <c r="D10" s="4" t="s">
        <v>51</v>
      </c>
    </row>
    <row r="11" spans="1:4" x14ac:dyDescent="0.25">
      <c r="A11" s="9">
        <v>0.73</v>
      </c>
      <c r="B11" s="4" t="s">
        <v>44</v>
      </c>
      <c r="C11" s="8" t="s">
        <v>41</v>
      </c>
      <c r="D11" s="4" t="s">
        <v>51</v>
      </c>
    </row>
    <row r="12" spans="1:4" x14ac:dyDescent="0.25">
      <c r="A12" s="9">
        <v>0.77</v>
      </c>
      <c r="B12" s="4" t="s">
        <v>44</v>
      </c>
      <c r="C12" s="8" t="s">
        <v>64</v>
      </c>
      <c r="D12" s="4" t="s">
        <v>50</v>
      </c>
    </row>
    <row r="13" spans="1:4" x14ac:dyDescent="0.25">
      <c r="A13" s="9">
        <v>0.62</v>
      </c>
      <c r="B13" s="4" t="s">
        <v>44</v>
      </c>
      <c r="C13" s="8" t="s">
        <v>64</v>
      </c>
      <c r="D13" s="4" t="s">
        <v>50</v>
      </c>
    </row>
    <row r="14" spans="1:4" x14ac:dyDescent="0.25">
      <c r="A14" s="9">
        <v>0.53</v>
      </c>
      <c r="B14" s="4" t="s">
        <v>46</v>
      </c>
      <c r="C14" s="8" t="s">
        <v>42</v>
      </c>
      <c r="D14" s="4" t="s">
        <v>50</v>
      </c>
    </row>
    <row r="15" spans="1:4" x14ac:dyDescent="0.25">
      <c r="A15" s="9">
        <v>0.76</v>
      </c>
      <c r="B15" s="4" t="s">
        <v>48</v>
      </c>
      <c r="C15" s="8" t="s">
        <v>42</v>
      </c>
      <c r="D15" s="4" t="s">
        <v>51</v>
      </c>
    </row>
    <row r="16" spans="1:4" x14ac:dyDescent="0.25">
      <c r="A16" s="9">
        <v>0.89</v>
      </c>
      <c r="B16" s="4" t="s">
        <v>47</v>
      </c>
      <c r="C16" s="8" t="s">
        <v>64</v>
      </c>
      <c r="D16" s="4" t="s">
        <v>51</v>
      </c>
    </row>
    <row r="17" spans="1:8" x14ac:dyDescent="0.25">
      <c r="A17" s="9">
        <v>0.79</v>
      </c>
      <c r="B17" s="4" t="s">
        <v>44</v>
      </c>
      <c r="C17" s="8" t="s">
        <v>64</v>
      </c>
      <c r="D17" s="4" t="s">
        <v>50</v>
      </c>
    </row>
    <row r="18" spans="1:8" x14ac:dyDescent="0.25">
      <c r="A18" s="9">
        <v>0.67</v>
      </c>
      <c r="B18" s="4" t="s">
        <v>48</v>
      </c>
      <c r="C18" s="8" t="s">
        <v>64</v>
      </c>
      <c r="D18" s="4" t="s">
        <v>50</v>
      </c>
    </row>
    <row r="19" spans="1:8" x14ac:dyDescent="0.25">
      <c r="A19" s="9">
        <v>0.86</v>
      </c>
      <c r="B19" s="4" t="s">
        <v>47</v>
      </c>
      <c r="C19" s="8" t="s">
        <v>65</v>
      </c>
      <c r="D19" s="4" t="s">
        <v>50</v>
      </c>
    </row>
    <row r="20" spans="1:8" x14ac:dyDescent="0.25">
      <c r="A20" s="9">
        <v>0.64</v>
      </c>
      <c r="B20" s="4" t="s">
        <v>44</v>
      </c>
      <c r="C20" s="8" t="s">
        <v>64</v>
      </c>
      <c r="D20" s="4" t="s">
        <v>50</v>
      </c>
    </row>
    <row r="21" spans="1:8" x14ac:dyDescent="0.25">
      <c r="A21" s="9">
        <v>0.54</v>
      </c>
      <c r="B21" s="4" t="s">
        <v>46</v>
      </c>
      <c r="C21" s="8" t="s">
        <v>43</v>
      </c>
      <c r="D21" s="4" t="s">
        <v>51</v>
      </c>
    </row>
    <row r="23" spans="1:8" ht="15.75" x14ac:dyDescent="0.25">
      <c r="F23" s="6" t="s">
        <v>34</v>
      </c>
      <c r="G23" s="7"/>
      <c r="H23" s="7"/>
    </row>
    <row r="24" spans="1:8" x14ac:dyDescent="0.25">
      <c r="F24" t="s">
        <v>35</v>
      </c>
      <c r="G24">
        <f>COUNTIF(D1:D21,"Si")</f>
        <v>12</v>
      </c>
      <c r="H24" t="s">
        <v>36</v>
      </c>
    </row>
    <row r="25" spans="1:8" x14ac:dyDescent="0.25">
      <c r="F25" t="s">
        <v>37</v>
      </c>
      <c r="G25" s="5">
        <f>COUNTIF(D1:D21,"Si")/20</f>
        <v>0.6</v>
      </c>
      <c r="H25" t="s">
        <v>38</v>
      </c>
    </row>
    <row r="26" spans="1:8" x14ac:dyDescent="0.25">
      <c r="F26" t="s">
        <v>39</v>
      </c>
      <c r="G26" s="11" t="s">
        <v>66</v>
      </c>
      <c r="H26" t="s">
        <v>40</v>
      </c>
    </row>
  </sheetData>
  <mergeCells count="1">
    <mergeCell ref="F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DO-003 Collar Reina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MoyaICSI</cp:lastModifiedBy>
  <dcterms:created xsi:type="dcterms:W3CDTF">2025-12-02T06:25:39Z</dcterms:created>
  <dcterms:modified xsi:type="dcterms:W3CDTF">2025-12-02T22:50:57Z</dcterms:modified>
</cp:coreProperties>
</file>